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ing_info" sheetId="1" state="visible" r:id="rId3"/>
    <sheet name="Budget" sheetId="2" state="visible" r:id="rId4"/>
    <sheet name="Forecast" sheetId="3" state="visible" r:id="rId5"/>
    <sheet name="Submitted_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<sst xmlns="http://schemas.openxmlformats.org/spreadsheetml/2006/main" count="96" uniqueCount="77">
  <si>
    <t xml:space="preserve">Funding_info</t>
  </si>
  <si>
    <t xml:space="preserve">One row per field. The dashboard reads column B. Fill the yellow cells; grey cells are formulas over the Budget tab - do not edit them.</t>
  </si>
  <si>
    <t xml:space="preserve">Funding source</t>
  </si>
  <si>
    <t xml:space="preserve">SPY_26_EXAMPLE</t>
  </si>
  <si>
    <t xml:space="preserve">Must match the file name AND the Xero 'Funding source' tracking value</t>
  </si>
  <si>
    <t xml:space="preserve">Project</t>
  </si>
  <si>
    <t xml:space="preserve">Spyfish Aotearoa</t>
  </si>
  <si>
    <t xml:space="preserve">Default project for lines with a blank Project cell</t>
  </si>
  <si>
    <t xml:space="preserve">Funder</t>
  </si>
  <si>
    <t xml:space="preserve">Example Funder Trust</t>
  </si>
  <si>
    <t xml:space="preserve">The organisation</t>
  </si>
  <si>
    <t xml:space="preserve">Status</t>
  </si>
  <si>
    <t xml:space="preserve">proposed</t>
  </si>
  <si>
    <t xml:space="preserve">secured | proposed | archived - must agree with the folder</t>
  </si>
  <si>
    <t xml:space="preserve">Funding start</t>
  </si>
  <si>
    <t xml:space="preserve">First day of the grant period</t>
  </si>
  <si>
    <t xml:space="preserve">Funding end</t>
  </si>
  <si>
    <t xml:space="preserve">Last day. Lets the dashboard flag spend after a grant ends</t>
  </si>
  <si>
    <t xml:space="preserve">Contribution policy</t>
  </si>
  <si>
    <t xml:space="preserve">percent_of_income:40</t>
  </si>
  <si>
    <t xml:space="preserve">none | percent_of_income:&lt;n&gt; | per_line</t>
  </si>
  <si>
    <t xml:space="preserve">Amount secured</t>
  </si>
  <si>
    <t xml:space="preserve">GST exclusive. 0 while the bid is proposed</t>
  </si>
  <si>
    <t xml:space="preserve">Decision date</t>
  </si>
  <si>
    <t xml:space="preserve">When the funder decides. Blank once secured</t>
  </si>
  <si>
    <t xml:space="preserve">Owner</t>
  </si>
  <si>
    <t xml:space="preserve">victor@wildlife.ai</t>
  </si>
  <si>
    <t xml:space="preserve">Health findings for this sheet are addressed here</t>
  </si>
  <si>
    <t xml:space="preserve">Last reviewed</t>
  </si>
  <si>
    <t xml:space="preserve">Date last checked against reality</t>
  </si>
  <si>
    <t xml:space="preserve">Notes</t>
  </si>
  <si>
    <t xml:space="preserve">Free text. Never put a number here that anything else needs</t>
  </si>
  <si>
    <t xml:space="preserve">Amount requested</t>
  </si>
  <si>
    <t xml:space="preserve">Derived: total Income on the Budget tab</t>
  </si>
  <si>
    <t xml:space="preserve">Derived from the Budget tab - do not edit</t>
  </si>
  <si>
    <t xml:space="preserve">Total cost</t>
  </si>
  <si>
    <t xml:space="preserve">Sum of the Cost column</t>
  </si>
  <si>
    <t xml:space="preserve">Total income</t>
  </si>
  <si>
    <t xml:space="preserve">Sum of the Income column</t>
  </si>
  <si>
    <t xml:space="preserve">Total contribution</t>
  </si>
  <si>
    <t xml:space="preserve">Income minus Cost, per line</t>
  </si>
  <si>
    <t xml:space="preserve">Contribution as % of income</t>
  </si>
  <si>
    <t xml:space="preserve">Should match the Contribution policy above</t>
  </si>
  <si>
    <t xml:space="preserve">Budget - the live baseline the dashboard reads. One row per milestone, or several rows sharing one Xero Inventory Item. Do NOT add a totals row: it would be parsed as a budget line. Totals live on Funding_info.</t>
  </si>
  <si>
    <t xml:space="preserve">Description</t>
  </si>
  <si>
    <t xml:space="preserve">Start</t>
  </si>
  <si>
    <t xml:space="preserve">End</t>
  </si>
  <si>
    <t xml:space="preserve">Cost</t>
  </si>
  <si>
    <t xml:space="preserve">Income</t>
  </si>
  <si>
    <t xml:space="preserve">Contribution</t>
  </si>
  <si>
    <t xml:space="preserve">Milestone</t>
  </si>
  <si>
    <t xml:space="preserve">Xero Inventory Item</t>
  </si>
  <si>
    <t xml:space="preserve">Comments</t>
  </si>
  <si>
    <t xml:space="preserve">Data Scientist</t>
  </si>
  <si>
    <t xml:space="preserve">Baseline model assessment and data ingestion</t>
  </si>
  <si>
    <t xml:space="preserve">SPY_26_EXAMPLE_001 - Baseline model assessment</t>
  </si>
  <si>
    <t xml:space="preserve">Illustrative figures only - replace with your own</t>
  </si>
  <si>
    <t xml:space="preserve">Project Manager</t>
  </si>
  <si>
    <t xml:space="preserve">Second row on the same milestone, split by role</t>
  </si>
  <si>
    <t xml:space="preserve">Final validation and co-authored manuscript</t>
  </si>
  <si>
    <t xml:space="preserve">SPY_26_EXAMPLE_002 - Final validation and manuscript</t>
  </si>
  <si>
    <t xml:space="preserve">Illustrative figures only</t>
  </si>
  <si>
    <t xml:space="preserve">General</t>
  </si>
  <si>
    <t xml:space="preserve">Project column sends this line to General</t>
  </si>
  <si>
    <t xml:space="preserve">Forecast - OPTIONAL per-quarter overrides. A quarter with no entry falls back to the budget baseline, so an empty tab is fine. Column headers must read exactly 'MMM-MMM YY Forecast'. Rows must start with the Xero Inventory Item code.</t>
  </si>
  <si>
    <t xml:space="preserve">Revenue</t>
  </si>
  <si>
    <t xml:space="preserve">On signing of the agreement</t>
  </si>
  <si>
    <t xml:space="preserve">On completion of the research</t>
  </si>
  <si>
    <t xml:space="preserve">Total</t>
  </si>
  <si>
    <t xml:space="preserve">Expenses</t>
  </si>
  <si>
    <t xml:space="preserve">Both roles, to December</t>
  </si>
  <si>
    <t xml:space="preserve">Both roles, second half</t>
  </si>
  <si>
    <t xml:space="preserve">Funding Source Details</t>
  </si>
  <si>
    <t xml:space="preserve">Nothing below this row is read. Keep working notes here.</t>
  </si>
  <si>
    <t xml:space="preserve">Submitted_budget - a frozen copy of what the funder was actually given. Not read by the dashboard. Never edit after submission; re-budgets go on the Budget tab.</t>
  </si>
  <si>
    <t xml:space="preserve">Amount (GST exclusive)</t>
  </si>
  <si>
    <t xml:space="preserve">Total expenses (GST exclusive)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</si>
</sst>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m/yy"/>
    <numFmt numFmtId="166" formatCode="\$#,##0"/>
    <numFmt numFmtId="167" formatCode="0.0%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DEEAD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A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7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  <c r="C6" s="5" t="s">
        <v>10</v>
      </c>
    </row>
    <row r="7" customFormat="false" ht="15" hidden="false" customHeight="false" outlineLevel="0" collapsed="false">
      <c r="A7" s="3" t="s">
        <v>11</v>
      </c>
      <c r="B7" s="4" t="s">
        <v>12</v>
      </c>
      <c r="C7" s="5" t="s">
        <v>13</v>
      </c>
    </row>
    <row r="8" customFormat="false" ht="15" hidden="false" customHeight="false" outlineLevel="0" collapsed="false">
      <c r="A8" s="3" t="s">
        <v>14</v>
      </c>
      <c r="B8" s="6" t="n">
        <v>46204</v>
      </c>
      <c r="C8" s="5" t="s">
        <v>15</v>
      </c>
    </row>
    <row r="9" customFormat="false" ht="15" hidden="false" customHeight="false" outlineLevel="0" collapsed="false">
      <c r="A9" s="3" t="s">
        <v>16</v>
      </c>
      <c r="B9" s="6" t="n">
        <v>46568</v>
      </c>
      <c r="C9" s="5" t="s">
        <v>17</v>
      </c>
    </row>
    <row r="10" customFormat="false" ht="15" hidden="false" customHeight="false" outlineLevel="0" collapsed="false">
      <c r="A10" s="3" t="s">
        <v>18</v>
      </c>
      <c r="B10" s="4" t="s">
        <v>19</v>
      </c>
      <c r="C10" s="5" t="s">
        <v>20</v>
      </c>
    </row>
    <row r="11" customFormat="false" ht="15" hidden="false" customHeight="false" outlineLevel="0" collapsed="false">
      <c r="A11" s="3" t="s">
        <v>21</v>
      </c>
      <c r="B11" s="7" t="n">
        <v>0</v>
      </c>
      <c r="C11" s="5" t="s">
        <v>22</v>
      </c>
    </row>
    <row r="12" customFormat="false" ht="15" hidden="false" customHeight="false" outlineLevel="0" collapsed="false">
      <c r="A12" s="3" t="s">
        <v>23</v>
      </c>
      <c r="B12" s="6" t="n">
        <v>46188</v>
      </c>
      <c r="C12" s="5" t="s">
        <v>24</v>
      </c>
    </row>
    <row r="13" customFormat="false" ht="15" hidden="false" customHeight="false" outlineLevel="0" collapsed="false">
      <c r="A13" s="3" t="s">
        <v>25</v>
      </c>
      <c r="B13" s="4" t="s">
        <v>26</v>
      </c>
      <c r="C13" s="5" t="s">
        <v>27</v>
      </c>
    </row>
    <row r="14" customFormat="false" ht="15" hidden="false" customHeight="false" outlineLevel="0" collapsed="false">
      <c r="A14" s="3" t="s">
        <v>28</v>
      </c>
      <c r="B14" s="6" t="n">
        <v>46245</v>
      </c>
      <c r="C14" s="5" t="s">
        <v>29</v>
      </c>
    </row>
    <row r="15" customFormat="false" ht="15" hidden="false" customHeight="false" outlineLevel="0" collapsed="false">
      <c r="A15" s="3" t="s">
        <v>30</v>
      </c>
      <c r="B15" s="4"/>
      <c r="C15" s="5" t="s">
        <v>31</v>
      </c>
    </row>
    <row r="16" customFormat="false" ht="15" hidden="false" customHeight="false" outlineLevel="0" collapsed="false">
      <c r="A16" s="3" t="s">
        <v>32</v>
      </c>
      <c r="B16" s="8" t="n">
        <f aca="false">SUM(Budget!E:E)</f>
        <v>50000</v>
      </c>
      <c r="C16" s="5" t="s">
        <v>33</v>
      </c>
    </row>
    <row r="18" customFormat="false" ht="15" hidden="false" customHeight="false" outlineLevel="0" collapsed="false">
      <c r="A18" s="3" t="s">
        <v>34</v>
      </c>
    </row>
    <row r="19" customFormat="false" ht="15" hidden="false" customHeight="false" outlineLevel="0" collapsed="false">
      <c r="A19" s="3" t="s">
        <v>35</v>
      </c>
      <c r="B19" s="8" t="n">
        <f aca="false">SUM(Budget!D:D)</f>
        <v>30000</v>
      </c>
      <c r="C19" s="5" t="s">
        <v>36</v>
      </c>
    </row>
    <row r="20" customFormat="false" ht="15" hidden="false" customHeight="false" outlineLevel="0" collapsed="false">
      <c r="A20" s="3" t="s">
        <v>37</v>
      </c>
      <c r="B20" s="8" t="n">
        <f aca="false">SUM(Budget!E:E)</f>
        <v>50000</v>
      </c>
      <c r="C20" s="5" t="s">
        <v>38</v>
      </c>
    </row>
    <row r="21" customFormat="false" ht="15" hidden="false" customHeight="false" outlineLevel="0" collapsed="false">
      <c r="A21" s="3" t="s">
        <v>39</v>
      </c>
      <c r="B21" s="8" t="n">
        <f aca="false">SUM(Budget!F:F)</f>
        <v>20000</v>
      </c>
      <c r="C21" s="5" t="s">
        <v>40</v>
      </c>
    </row>
    <row r="22" customFormat="false" ht="15" hidden="false" customHeight="false" outlineLevel="0" collapsed="false">
      <c r="A22" s="3" t="s">
        <v>41</v>
      </c>
      <c r="B22" s="9" t="n">
        <f aca="false">IFERROR(B21/B20,0)</f>
        <v>0.4</v>
      </c>
      <c r="C22" s="5" t="s">
        <v>42</v>
      </c>
    </row>
  </sheetData>
  <mergeCells count="1">
    <mergeCell ref="A2:D2"/>
  </mergeCells>
  <dataValidations count="2">
    <dataValidation allowBlank="false" errorStyle="stop" operator="between" showDropDown="false" showErrorMessage="false" showInputMessage="false" sqref="B7" type="list">
      <formula1>"secured,proposed,archived"</formula1>
      <formula2>0</formula2>
    </dataValidation>
    <dataValidation allowBlank="false" errorStyle="stop" operator="between" showDropDown="false" showErrorMessage="false" showInputMessage="false" sqref="B10" type="list">
      <formula1>"none,percent_of_income:40,percent_of_income:20,per_line"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42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  <c r="G2" s="10" t="s">
        <v>50</v>
      </c>
      <c r="H2" s="10" t="s">
        <v>51</v>
      </c>
      <c r="I2" s="10" t="s">
        <v>5</v>
      </c>
      <c r="J2" s="10" t="s">
        <v>52</v>
      </c>
    </row>
    <row r="3" customFormat="false" ht="15" hidden="false" customHeight="false" outlineLevel="0" collapsed="false">
      <c r="A3" s="11" t="s">
        <v>53</v>
      </c>
      <c r="B3" s="6" t="n">
        <v>46204</v>
      </c>
      <c r="C3" s="6" t="n">
        <v>46387</v>
      </c>
      <c r="D3" s="7" t="n">
        <v>12000</v>
      </c>
      <c r="E3" s="7" t="n">
        <v>20000</v>
      </c>
      <c r="F3" s="8" t="n">
        <f aca="false">E3-D3</f>
        <v>8000</v>
      </c>
      <c r="G3" s="11" t="s">
        <v>54</v>
      </c>
      <c r="H3" s="11" t="s">
        <v>55</v>
      </c>
      <c r="I3" s="11"/>
      <c r="J3" s="12" t="s">
        <v>56</v>
      </c>
    </row>
    <row r="4" customFormat="false" ht="15" hidden="false" customHeight="false" outlineLevel="0" collapsed="false">
      <c r="A4" s="11" t="s">
        <v>57</v>
      </c>
      <c r="B4" s="6" t="n">
        <v>46204</v>
      </c>
      <c r="C4" s="6" t="n">
        <v>46387</v>
      </c>
      <c r="D4" s="7" t="n">
        <v>3000</v>
      </c>
      <c r="E4" s="7" t="n">
        <v>5000</v>
      </c>
      <c r="F4" s="8" t="n">
        <f aca="false">E4-D4</f>
        <v>2000</v>
      </c>
      <c r="G4" s="11" t="s">
        <v>54</v>
      </c>
      <c r="H4" s="11" t="s">
        <v>55</v>
      </c>
      <c r="I4" s="11"/>
      <c r="J4" s="12" t="s">
        <v>58</v>
      </c>
    </row>
    <row r="5" customFormat="false" ht="15" hidden="false" customHeight="false" outlineLevel="0" collapsed="false">
      <c r="A5" s="11" t="s">
        <v>53</v>
      </c>
      <c r="B5" s="6" t="n">
        <v>46388</v>
      </c>
      <c r="C5" s="6" t="n">
        <v>46568</v>
      </c>
      <c r="D5" s="7" t="n">
        <v>12000</v>
      </c>
      <c r="E5" s="7" t="n">
        <v>20000</v>
      </c>
      <c r="F5" s="8" t="n">
        <f aca="false">E5-D5</f>
        <v>8000</v>
      </c>
      <c r="G5" s="11" t="s">
        <v>59</v>
      </c>
      <c r="H5" s="11" t="s">
        <v>60</v>
      </c>
      <c r="I5" s="11"/>
      <c r="J5" s="12" t="s">
        <v>61</v>
      </c>
    </row>
    <row r="6" customFormat="false" ht="15" hidden="false" customHeight="false" outlineLevel="0" collapsed="false">
      <c r="A6" s="11" t="s">
        <v>57</v>
      </c>
      <c r="B6" s="6" t="n">
        <v>46388</v>
      </c>
      <c r="C6" s="6" t="n">
        <v>46568</v>
      </c>
      <c r="D6" s="7" t="n">
        <v>3000</v>
      </c>
      <c r="E6" s="7" t="n">
        <v>5000</v>
      </c>
      <c r="F6" s="8" t="n">
        <f aca="false">E6-D6</f>
        <v>2000</v>
      </c>
      <c r="G6" s="11" t="s">
        <v>59</v>
      </c>
      <c r="H6" s="11" t="s">
        <v>60</v>
      </c>
      <c r="I6" s="11" t="s">
        <v>62</v>
      </c>
      <c r="J6" s="12" t="s">
        <v>63</v>
      </c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I3:I200" type="list">
      <formula1>"Spyfish Aotearoa,Wild About AI,Wildlife Watcher,General"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9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2" t="s">
        <v>64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10" t="s">
        <v>65</v>
      </c>
      <c r="B3" s="10" t="str">
        <f aca="false">IF(Funding_info!$B$8="","",TEXT(EOMONTH(EOMONTH(Funding_info!$B$8, -MOD(MONTH(Funding_info!$B$8)-1, 3) - 1), 1), "mmm") &amp; "-" &amp; TEXT(EOMONTH(EOMONTH(Funding_info!$B$8, -MOD(MONTH(Funding_info!$B$8)-1, 3) - 1), 3), "mmm yy") &amp; " Forecast")</f>
        <v>Jul-Sep 26 Forecast</v>
      </c>
      <c r="C3" s="10" t="str">
        <f aca="false">IF(Funding_info!$B$8="","",TEXT(EOMONTH(EOMONTH(Funding_info!$B$8, -MOD(MONTH(Funding_info!$B$8)-1, 3) - 1), 4), "mmm") &amp; "-" &amp; TEXT(EOMONTH(EOMONTH(Funding_info!$B$8, -MOD(MONTH(Funding_info!$B$8)-1, 3) - 1), 6), "mmm yy") &amp; " Forecast")</f>
        <v>Oct-Dec 26 Forecast</v>
      </c>
      <c r="D3" s="10" t="str">
        <f aca="false">IF(Funding_info!$B$8="","",TEXT(EOMONTH(EOMONTH(Funding_info!$B$8, -MOD(MONTH(Funding_info!$B$8)-1, 3) - 1), 7), "mmm") &amp; "-" &amp; TEXT(EOMONTH(EOMONTH(Funding_info!$B$8, -MOD(MONTH(Funding_info!$B$8)-1, 3) - 1), 9), "mmm yy") &amp; " Forecast")</f>
        <v>Jan-Mar 27 Forecast</v>
      </c>
      <c r="E3" s="10" t="str">
        <f aca="false">IF(Funding_info!$B$8="","",TEXT(EOMONTH(EOMONTH(Funding_info!$B$8, -MOD(MONTH(Funding_info!$B$8)-1, 3) - 1), 10), "mmm") &amp; "-" &amp; TEXT(EOMONTH(EOMONTH(Funding_info!$B$8, -MOD(MONTH(Funding_info!$B$8)-1, 3) - 1), 12), "mmm yy") &amp; " Forecast")</f>
        <v>Apr-Jun 27 Forecast</v>
      </c>
      <c r="F3" s="10" t="s">
        <v>52</v>
      </c>
    </row>
    <row r="4" customFormat="false" ht="15" hidden="false" customHeight="false" outlineLevel="0" collapsed="false">
      <c r="A4" s="11" t="s">
        <v>55</v>
      </c>
      <c r="B4" s="13" t="n">
        <v>25000</v>
      </c>
      <c r="C4" s="13"/>
      <c r="D4" s="13"/>
      <c r="E4" s="13"/>
      <c r="F4" s="5" t="s">
        <v>66</v>
      </c>
    </row>
    <row r="5" customFormat="false" ht="15" hidden="false" customHeight="false" outlineLevel="0" collapsed="false">
      <c r="A5" s="11" t="s">
        <v>60</v>
      </c>
      <c r="B5" s="13"/>
      <c r="C5" s="13"/>
      <c r="D5" s="13" t="n">
        <v>25000</v>
      </c>
      <c r="E5" s="13"/>
      <c r="F5" s="5" t="s">
        <v>67</v>
      </c>
    </row>
    <row r="6" customFormat="false" ht="15" hidden="false" customHeight="false" outlineLevel="0" collapsed="false">
      <c r="A6" s="3" t="s">
        <v>68</v>
      </c>
      <c r="B6" s="14" t="n">
        <f aca="false">SUM(B4:B5)</f>
        <v>25000</v>
      </c>
      <c r="C6" s="14" t="n">
        <f aca="false">SUM(C4:C5)</f>
        <v>0</v>
      </c>
      <c r="D6" s="14" t="n">
        <f aca="false">SUM(D4:D5)</f>
        <v>25000</v>
      </c>
      <c r="E6" s="14" t="n">
        <f aca="false">SUM(E4:E5)</f>
        <v>0</v>
      </c>
    </row>
    <row r="8" customFormat="false" ht="15" hidden="false" customHeight="false" outlineLevel="0" collapsed="false">
      <c r="A8" s="10" t="s">
        <v>69</v>
      </c>
      <c r="B8" s="10" t="str">
        <f aca="false">IF(Funding_info!$B$8="","",TEXT(EOMONTH(EOMONTH(Funding_info!$B$8, -MOD(MONTH(Funding_info!$B$8)-1, 3) - 1), 1), "mmm") &amp; "-" &amp; TEXT(EOMONTH(EOMONTH(Funding_info!$B$8, -MOD(MONTH(Funding_info!$B$8)-1, 3) - 1), 3), "mmm yy") &amp; " Forecast")</f>
        <v>Jul-Sep 26 Forecast</v>
      </c>
      <c r="C8" s="10" t="str">
        <f aca="false">IF(Funding_info!$B$8="","",TEXT(EOMONTH(EOMONTH(Funding_info!$B$8, -MOD(MONTH(Funding_info!$B$8)-1, 3) - 1), 4), "mmm") &amp; "-" &amp; TEXT(EOMONTH(EOMONTH(Funding_info!$B$8, -MOD(MONTH(Funding_info!$B$8)-1, 3) - 1), 6), "mmm yy") &amp; " Forecast")</f>
        <v>Oct-Dec 26 Forecast</v>
      </c>
      <c r="D8" s="10" t="str">
        <f aca="false">IF(Funding_info!$B$8="","",TEXT(EOMONTH(EOMONTH(Funding_info!$B$8, -MOD(MONTH(Funding_info!$B$8)-1, 3) - 1), 7), "mmm") &amp; "-" &amp; TEXT(EOMONTH(EOMONTH(Funding_info!$B$8, -MOD(MONTH(Funding_info!$B$8)-1, 3) - 1), 9), "mmm yy") &amp; " Forecast")</f>
        <v>Jan-Mar 27 Forecast</v>
      </c>
      <c r="E8" s="10" t="str">
        <f aca="false">IF(Funding_info!$B$8="","",TEXT(EOMONTH(EOMONTH(Funding_info!$B$8, -MOD(MONTH(Funding_info!$B$8)-1, 3) - 1), 10), "mmm") &amp; "-" &amp; TEXT(EOMONTH(EOMONTH(Funding_info!$B$8, -MOD(MONTH(Funding_info!$B$8)-1, 3) - 1), 12), "mmm yy") &amp; " Forecast")</f>
        <v>Apr-Jun 27 Forecast</v>
      </c>
      <c r="F8" s="10" t="s">
        <v>52</v>
      </c>
    </row>
    <row r="9" customFormat="false" ht="15" hidden="false" customHeight="false" outlineLevel="0" collapsed="false">
      <c r="A9" s="11" t="s">
        <v>55</v>
      </c>
      <c r="B9" s="13" t="n">
        <v>15000</v>
      </c>
      <c r="C9" s="13"/>
      <c r="D9" s="13"/>
      <c r="E9" s="13"/>
      <c r="F9" s="5" t="s">
        <v>70</v>
      </c>
    </row>
    <row r="10" customFormat="false" ht="15" hidden="false" customHeight="false" outlineLevel="0" collapsed="false">
      <c r="A10" s="11" t="s">
        <v>60</v>
      </c>
      <c r="B10" s="13"/>
      <c r="C10" s="13"/>
      <c r="D10" s="13" t="n">
        <v>15000</v>
      </c>
      <c r="E10" s="13"/>
      <c r="F10" s="5" t="s">
        <v>71</v>
      </c>
    </row>
    <row r="11" customFormat="false" ht="15" hidden="false" customHeight="false" outlineLevel="0" collapsed="false">
      <c r="A11" s="3" t="s">
        <v>68</v>
      </c>
      <c r="B11" s="14" t="n">
        <f aca="false">SUM(B9:B10)</f>
        <v>15000</v>
      </c>
      <c r="C11" s="14" t="n">
        <f aca="false">SUM(C9:C10)</f>
        <v>0</v>
      </c>
      <c r="D11" s="14" t="n">
        <f aca="false">SUM(D9:D10)</f>
        <v>15000</v>
      </c>
      <c r="E11" s="14" t="n">
        <f aca="false">SUM(E9:E10)</f>
        <v>0</v>
      </c>
    </row>
    <row r="13" customFormat="false" ht="15" hidden="false" customHeight="false" outlineLevel="0" collapsed="false">
      <c r="A13" s="3" t="s">
        <v>72</v>
      </c>
    </row>
    <row r="14" customFormat="false" ht="15" hidden="false" customHeight="false" outlineLevel="0" collapsed="false">
      <c r="A14" s="5" t="s">
        <v>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2" t="s">
        <v>74</v>
      </c>
      <c r="B1" s="2"/>
      <c r="C1" s="2"/>
      <c r="D1" s="2"/>
    </row>
    <row r="2" customFormat="false" ht="15" hidden="false" customHeight="false" outlineLevel="0" collapsed="false">
      <c r="A2" s="10" t="s">
        <v>50</v>
      </c>
      <c r="B2" s="10" t="s">
        <v>45</v>
      </c>
      <c r="C2" s="10" t="s">
        <v>46</v>
      </c>
      <c r="D2" s="10" t="s">
        <v>75</v>
      </c>
    </row>
    <row r="3" customFormat="false" ht="15" hidden="false" customHeight="false" outlineLevel="0" collapsed="false">
      <c r="A3" s="11" t="s">
        <v>54</v>
      </c>
      <c r="B3" s="15" t="n">
        <v>46204</v>
      </c>
      <c r="C3" s="15" t="n">
        <v>46387</v>
      </c>
      <c r="D3" s="16" t="n">
        <v>25000</v>
      </c>
    </row>
    <row r="4" customFormat="false" ht="15" hidden="false" customHeight="false" outlineLevel="0" collapsed="false">
      <c r="A4" s="11" t="s">
        <v>59</v>
      </c>
      <c r="B4" s="15" t="n">
        <v>46388</v>
      </c>
      <c r="C4" s="15" t="n">
        <v>46568</v>
      </c>
      <c r="D4" s="16" t="n">
        <v>25000</v>
      </c>
    </row>
    <row r="5" customFormat="false" ht="15" hidden="false" customHeight="false" outlineLevel="0" collapsed="false">
      <c r="A5" s="3" t="s">
        <v>76</v>
      </c>
      <c r="D5" s="8" t="n">
        <f aca="false">SUM(D3:D4)</f>
        <v>50000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2026-08-11T07:51:07Z</dcterms:created>
  <dc:creator>openpyxl</dc:creator>
  <dc:description/>
  <dc:language>en-NZ</dc:language>
  <cp:lastModifiedBy/>
  <dcterms:modified xsi:type="dcterms:W3CDTF">2026-08-11T07:51:07Z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